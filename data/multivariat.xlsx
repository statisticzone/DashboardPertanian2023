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A STIS\SEMESTER 6\VISDAT\UAS\"/>
    </mc:Choice>
  </mc:AlternateContent>
  <xr:revisionPtr revIDLastSave="0" documentId="13_ncr:1_{EA4DF669-08E2-4AD0-AF24-C2F42F4119C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J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<sst xmlns="http://schemas.openxmlformats.org/spreadsheetml/2006/main" count="65" uniqueCount="54">
  <si>
    <t>kode_kab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</si>
  <si>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</si>
  <si>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</si>
  <si>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</si>
  <si>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</si>
  <si>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</si>
  <si>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</si>
  <si>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</si>
  <si>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</si>
  <si>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</si>
  <si>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</si>
  <si>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</si>
  <si>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</si>
  <si>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</si>
  <si>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</si>
  <si>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</si>
  <si>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</si>
  <si>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</si>
  <si>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</si>
  <si>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</si>
  <si>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</si>
  <si>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</si>
  <si>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</si>
  <si>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</si>
  <si>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</si>
  <si>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</si>
  <si>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</si>
  <si>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</si>
  <si>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</si>
  <si>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</si>
  <si>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</si>
  <si>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</si>
  <si>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</si>
  <si>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</si>
  <si>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</si>
  <si>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</si>
  <si>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</si>
  <si>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</si>
  <si>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</si>
  <si>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</si>
  <si>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total_gurem</t>
  </si>
  <si>
    <t>total_usaha</t>
  </si>
  <si>
    <t>pct_gurem</t>
  </si>
  <si>
    <t>total_perempuan</t>
  </si>
  <si>
    <t>total_pekerja</t>
  </si>
  <si>
    <t>total&gt;=55</t>
  </si>
  <si>
    <t>pct_krt_&gt;=55</t>
  </si>
  <si>
    <t>pct_krt_perempuan</t>
  </si>
  <si>
    <t>pct_pakai_pupuk</t>
  </si>
  <si>
    <t>pct_berbadan_hukum</t>
  </si>
  <si>
    <t>produktivitas_padi(ku/ha)</t>
  </si>
  <si>
    <t>ntp_2023</t>
  </si>
  <si>
    <t>pct_pekerja_pertanian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</si>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</sst>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0" fillId="0" borderId="0" xfId="0" applyFont="1" applyBorder="1"/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/>
    </xf>
    <xf numFmtId="2" fontId="0" fillId="0" borderId="0" xfId="0" applyNumberFormat="1"/>
    <xf numFmtId="1" fontId="2" fillId="0" borderId="0" xfId="1" applyNumberFormat="1" applyFont="1" applyFill="1" applyBorder="1" applyAlignment="1">
      <alignment horizontal="right" vertical="center"/>
    </xf>
    <xf numFmtId="1" fontId="2" fillId="0" borderId="0" xfId="1" applyNumberFormat="1" applyFont="1" applyFill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Border="1" applyAlignment="1">
      <alignment horizontal="right" vertical="center"/>
    </xf>
    <xf numFmtId="1" fontId="0" fillId="0" borderId="0" xfId="0" applyNumberFormat="1" applyBorder="1"/>
    <xf numFmtId="2" fontId="0" fillId="0" borderId="0" xfId="0" applyNumberFormat="1" applyBorder="1"/>
    <xf numFmtId="0" fontId="3" fillId="0" borderId="0" xfId="2"/>
    <xf numFmtId="0" fontId="3" fillId="0" borderId="0" xfId="2"/>
    <xf numFmtId="0" fontId="3" fillId="0" borderId="0" xfId="2"/>
  </cellXfs>
  <cellStyles count="3">
    <cellStyle name="Normal" xfId="0" builtinId="0"/>
    <cellStyle name="Normal 2" xfId="1" xr:uid="{7A6C1F6B-1D40-4A97-BBBF-29DA6A47AA4D}"/>
    <cellStyle name="Normal 3" xfId="2" xr:uid="{38D78B62-57E6-4532-85CF-D76FE07E8B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C1" workbookViewId="0">
      <selection activeCell="F8" sqref="F8"/>
    </sheetView>
  </sheetViews>
  <sheetFormatPr defaultRowHeight="14.5" x14ac:dyDescent="0.35"/>
  <cols>
    <col min="2" max="2" width="30.1796875" customWidth="1"/>
    <col min="3" max="3" width="14.1796875" customWidth="1"/>
    <col min="4" max="4" width="14.7265625" customWidth="1"/>
    <col min="6" max="6" width="16.54296875" customWidth="1"/>
    <col min="8" max="8" width="14.08984375" customWidth="1"/>
    <col min="9" max="9" width="12.08984375" customWidth="1"/>
    <col min="10" max="10" width="12.6328125" customWidth="1"/>
    <col min="11" max="11" width="10.36328125" bestFit="1" customWidth="1"/>
  </cols>
  <sheetData>
    <row r="1" spans="1:16" ht="29" x14ac:dyDescent="0.35">
      <c r="A1" s="1" t="s">
        <v>0</v>
      </c>
      <c r="B1" s="2" t="s">
        <v>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45</v>
      </c>
      <c r="H1" s="6" t="s">
        <v>44</v>
      </c>
      <c r="I1" s="2" t="s">
        <v>46</v>
      </c>
      <c r="J1" s="2" t="s">
        <v>47</v>
      </c>
      <c r="K1" s="2" t="s">
        <v>48</v>
      </c>
      <c r="L1" t="s">
        <v>49</v>
      </c>
      <c r="M1" t="s">
        <v>50</v>
      </c>
      <c r="N1" t="s">
        <v>51</v>
      </c>
      <c r="O1" t="s">
        <v>52</v>
      </c>
    </row>
    <row r="2" spans="1:16" ht="15.5" x14ac:dyDescent="0.35">
      <c r="A2" s="3">
        <v>11</v>
      </c>
      <c r="B2" s="1" t="s">
        <v>2</v>
      </c>
      <c r="C2" s="5">
        <v>646706</v>
      </c>
      <c r="D2" s="5">
        <v>1224524</v>
      </c>
      <c r="E2" s="7">
        <f>C2/D2*100</f>
        <v>52.812848094443233</v>
      </c>
      <c r="F2" s="8">
        <v>139430</v>
      </c>
      <c r="G2" s="7">
        <v>257463</v>
      </c>
      <c r="H2" s="8">
        <v>825781</v>
      </c>
      <c r="I2" s="10">
        <f>G2/H2*100</f>
        <v>31.178121075684718</v>
      </c>
      <c r="J2" s="10">
        <f>F2/H2*100</f>
        <v>16.884621951825</v>
      </c>
      <c r="K2" s="4">
        <v>75.450270713421602</v>
      </c>
      <c r="L2">
        <v>1.27094179207634E-2</v>
      </c>
      <c r="M2" s="11">
        <v>55.22</v>
      </c>
      <c r="N2" s="12">
        <v>114.35</v>
      </c>
      <c r="O2" s="13">
        <v>38.680651890109488</v>
      </c>
      <c r="P2">
        <v>38.680651890109488</v>
      </c>
    </row>
    <row r="3" spans="1:16" ht="15.5" x14ac:dyDescent="0.35">
      <c r="A3" s="3">
        <v>12</v>
      </c>
      <c r="B3" s="1" t="s">
        <v>3</v>
      </c>
      <c r="C3" s="5">
        <v>1145303</v>
      </c>
      <c r="D3" s="5">
        <v>2362248</v>
      </c>
      <c r="E3" s="7">
        <f t="shared" ref="E3:E40" si="0">C3/D3*100</f>
        <v>48.483605447014874</v>
      </c>
      <c r="F3" s="8">
        <v>238391</v>
      </c>
      <c r="G3" s="7">
        <v>536617</v>
      </c>
      <c r="H3" s="8">
        <v>1516367</v>
      </c>
      <c r="I3" s="10">
        <f t="shared" ref="I3:I40" si="1">G3/H3*100</f>
        <v>35.388332771683899</v>
      </c>
      <c r="J3" s="10">
        <f t="shared" ref="J3:J40" si="2">F3/H3*100</f>
        <v>15.721194143634094</v>
      </c>
      <c r="K3" s="4">
        <v>68.280238227289303</v>
      </c>
      <c r="L3">
        <v>2.8475324351741445E-2</v>
      </c>
      <c r="M3" s="11">
        <v>51.4</v>
      </c>
      <c r="N3" s="12">
        <v>125.32</v>
      </c>
      <c r="O3" s="13">
        <v>33.896608494004333</v>
      </c>
      <c r="P3">
        <v>33.896608494004333</v>
      </c>
    </row>
    <row r="4" spans="1:16" ht="15.5" x14ac:dyDescent="0.35">
      <c r="A4" s="3">
        <v>13</v>
      </c>
      <c r="B4" s="1" t="s">
        <v>4</v>
      </c>
      <c r="C4" s="5">
        <v>686205</v>
      </c>
      <c r="D4" s="5">
        <v>1417741</v>
      </c>
      <c r="E4" s="7">
        <f t="shared" si="0"/>
        <v>48.401294735780368</v>
      </c>
      <c r="F4" s="8">
        <v>114064</v>
      </c>
      <c r="G4" s="7">
        <v>299935</v>
      </c>
      <c r="H4" s="8">
        <v>769045</v>
      </c>
      <c r="I4" s="10">
        <f t="shared" si="1"/>
        <v>39.00096873394925</v>
      </c>
      <c r="J4" s="10">
        <f t="shared" si="2"/>
        <v>14.831901904309891</v>
      </c>
      <c r="K4" s="4">
        <v>72.274444278293203</v>
      </c>
      <c r="L4">
        <v>1.2461188589704981E-2</v>
      </c>
      <c r="M4" s="11">
        <v>49.32</v>
      </c>
      <c r="N4" s="12">
        <v>110.28</v>
      </c>
      <c r="O4" s="13">
        <v>33.902229408508134</v>
      </c>
      <c r="P4">
        <v>33.902229408508134</v>
      </c>
    </row>
    <row r="5" spans="1:16" ht="15.5" x14ac:dyDescent="0.35">
      <c r="A5" s="3">
        <v>14</v>
      </c>
      <c r="B5" s="1" t="s">
        <v>5</v>
      </c>
      <c r="C5" s="5">
        <v>181294</v>
      </c>
      <c r="D5" s="5">
        <v>893775</v>
      </c>
      <c r="E5" s="7">
        <f t="shared" si="0"/>
        <v>20.28407596990294</v>
      </c>
      <c r="F5" s="8">
        <v>74597</v>
      </c>
      <c r="G5" s="7">
        <v>221688</v>
      </c>
      <c r="H5" s="8">
        <v>728641</v>
      </c>
      <c r="I5" s="10">
        <f t="shared" si="1"/>
        <v>30.424859430089711</v>
      </c>
      <c r="J5" s="10">
        <f t="shared" si="2"/>
        <v>10.237826309526914</v>
      </c>
      <c r="K5" s="4">
        <v>58.432890820033457</v>
      </c>
      <c r="L5">
        <v>4.3744651907760494E-2</v>
      </c>
      <c r="M5" s="11">
        <v>39.68</v>
      </c>
      <c r="N5" s="12">
        <v>152.93</v>
      </c>
      <c r="O5" s="13">
        <v>38.202278627228011</v>
      </c>
      <c r="P5">
        <v>38.202278627228011</v>
      </c>
    </row>
    <row r="6" spans="1:16" ht="15.5" x14ac:dyDescent="0.35">
      <c r="A6" s="3">
        <v>15</v>
      </c>
      <c r="B6" s="1" t="s">
        <v>6</v>
      </c>
      <c r="C6" s="5">
        <v>143677</v>
      </c>
      <c r="D6" s="5">
        <v>794538</v>
      </c>
      <c r="E6" s="7">
        <f t="shared" si="0"/>
        <v>18.083087278393233</v>
      </c>
      <c r="F6" s="8">
        <v>52466</v>
      </c>
      <c r="G6" s="7">
        <v>170112</v>
      </c>
      <c r="H6" s="8">
        <v>565480</v>
      </c>
      <c r="I6" s="10">
        <f t="shared" si="1"/>
        <v>30.082761547711677</v>
      </c>
      <c r="J6" s="10">
        <f t="shared" si="2"/>
        <v>9.2781353894036922</v>
      </c>
      <c r="K6" s="4">
        <v>52.8908184197496</v>
      </c>
      <c r="L6">
        <v>2.5451229082271098E-2</v>
      </c>
      <c r="M6" s="11">
        <v>45.06</v>
      </c>
      <c r="N6" s="12">
        <v>138.11000000000001</v>
      </c>
      <c r="O6" s="13">
        <v>45.187719446207659</v>
      </c>
      <c r="P6">
        <v>45.187719446207659</v>
      </c>
    </row>
    <row r="7" spans="1:16" ht="15.5" x14ac:dyDescent="0.35">
      <c r="A7" s="3">
        <v>16</v>
      </c>
      <c r="B7" s="1" t="s">
        <v>7</v>
      </c>
      <c r="C7" s="5">
        <v>275639</v>
      </c>
      <c r="D7" s="5">
        <v>1737927</v>
      </c>
      <c r="E7" s="7">
        <f t="shared" si="0"/>
        <v>15.860217373917315</v>
      </c>
      <c r="F7" s="8">
        <v>100213</v>
      </c>
      <c r="G7" s="7">
        <v>352067</v>
      </c>
      <c r="H7" s="8">
        <v>1185283</v>
      </c>
      <c r="I7" s="10">
        <f t="shared" si="1"/>
        <v>29.703201682636131</v>
      </c>
      <c r="J7" s="10">
        <f t="shared" si="2"/>
        <v>8.4547740919257262</v>
      </c>
      <c r="K7" s="4">
        <v>50.537635315785344</v>
      </c>
      <c r="L7">
        <v>1.9398740262675813E-2</v>
      </c>
      <c r="M7" s="11">
        <v>56.19</v>
      </c>
      <c r="N7" s="12">
        <v>105.1</v>
      </c>
      <c r="O7" s="13">
        <v>44.711237848205968</v>
      </c>
      <c r="P7">
        <v>44.711237848205968</v>
      </c>
    </row>
    <row r="8" spans="1:16" ht="15.5" x14ac:dyDescent="0.35">
      <c r="A8" s="3">
        <v>17</v>
      </c>
      <c r="B8" s="1" t="s">
        <v>8</v>
      </c>
      <c r="C8" s="5">
        <v>76126</v>
      </c>
      <c r="D8" s="5">
        <v>530306</v>
      </c>
      <c r="E8" s="7">
        <f t="shared" si="0"/>
        <v>14.355108182822748</v>
      </c>
      <c r="F8" s="8">
        <v>26405</v>
      </c>
      <c r="G8" s="7">
        <v>99275</v>
      </c>
      <c r="H8" s="8">
        <v>335778</v>
      </c>
      <c r="I8" s="10">
        <f t="shared" si="1"/>
        <v>29.565665409883913</v>
      </c>
      <c r="J8" s="10">
        <f t="shared" si="2"/>
        <v>7.8638266950187328</v>
      </c>
      <c r="K8" s="4">
        <v>61.130568411271739</v>
      </c>
      <c r="L8">
        <v>2.7065692301743802E-2</v>
      </c>
      <c r="M8" s="11">
        <v>49.53</v>
      </c>
      <c r="N8" s="12">
        <v>146.91</v>
      </c>
      <c r="O8" s="13">
        <v>45.253011597630923</v>
      </c>
      <c r="P8">
        <v>45.253011597630923</v>
      </c>
    </row>
    <row r="9" spans="1:16" ht="15.5" x14ac:dyDescent="0.35">
      <c r="A9" s="3">
        <v>18</v>
      </c>
      <c r="B9" s="1" t="s">
        <v>9</v>
      </c>
      <c r="C9" s="5">
        <v>957676</v>
      </c>
      <c r="D9" s="5">
        <v>2451184</v>
      </c>
      <c r="E9" s="7">
        <f t="shared" si="0"/>
        <v>39.069935182344537</v>
      </c>
      <c r="F9" s="8">
        <v>97800</v>
      </c>
      <c r="G9" s="7">
        <v>467765</v>
      </c>
      <c r="H9" s="8">
        <v>1371771</v>
      </c>
      <c r="I9" s="10">
        <f t="shared" si="1"/>
        <v>34.099350401779887</v>
      </c>
      <c r="J9" s="10">
        <f t="shared" si="2"/>
        <v>7.1294698604942068</v>
      </c>
      <c r="K9" s="4">
        <v>70.397828792123462</v>
      </c>
      <c r="L9">
        <v>1.5593826010793259E-2</v>
      </c>
      <c r="M9" s="11">
        <v>52.03</v>
      </c>
      <c r="N9" s="12">
        <v>109.36</v>
      </c>
      <c r="O9" s="13">
        <v>42.318299884751085</v>
      </c>
      <c r="P9">
        <v>42.318299884751085</v>
      </c>
    </row>
    <row r="10" spans="1:16" ht="15.5" x14ac:dyDescent="0.35">
      <c r="A10" s="3">
        <v>19</v>
      </c>
      <c r="B10" s="1" t="s">
        <v>10</v>
      </c>
      <c r="C10" s="5">
        <v>40432</v>
      </c>
      <c r="D10" s="5">
        <v>208361</v>
      </c>
      <c r="E10" s="7">
        <f t="shared" si="0"/>
        <v>19.404783044811648</v>
      </c>
      <c r="F10" s="8">
        <v>12108</v>
      </c>
      <c r="G10" s="7">
        <v>46276</v>
      </c>
      <c r="H10" s="8">
        <v>167479</v>
      </c>
      <c r="I10" s="10">
        <f t="shared" si="1"/>
        <v>27.630926862472311</v>
      </c>
      <c r="J10" s="10">
        <f t="shared" si="2"/>
        <v>7.2295631094047614</v>
      </c>
      <c r="K10" s="4">
        <v>72.873016915553592</v>
      </c>
      <c r="L10">
        <v>0.12561692196867316</v>
      </c>
      <c r="M10" s="11">
        <v>43.49</v>
      </c>
      <c r="N10" s="12">
        <v>118.32</v>
      </c>
      <c r="O10" s="13">
        <v>25.084987630282136</v>
      </c>
      <c r="P10">
        <v>25.084987630282136</v>
      </c>
    </row>
    <row r="11" spans="1:16" ht="15.5" x14ac:dyDescent="0.35">
      <c r="A11" s="3">
        <v>21</v>
      </c>
      <c r="B11" s="1" t="s">
        <v>11</v>
      </c>
      <c r="C11" s="5">
        <v>43649</v>
      </c>
      <c r="D11" s="5">
        <v>90879</v>
      </c>
      <c r="E11" s="7">
        <f t="shared" si="0"/>
        <v>48.029797863092682</v>
      </c>
      <c r="F11" s="8">
        <v>5764</v>
      </c>
      <c r="G11" s="7">
        <v>25131</v>
      </c>
      <c r="H11" s="8">
        <v>81005</v>
      </c>
      <c r="I11" s="10">
        <f t="shared" si="1"/>
        <v>31.024010863526939</v>
      </c>
      <c r="J11" s="10">
        <f t="shared" si="2"/>
        <v>7.1156101475217577</v>
      </c>
      <c r="K11" s="4">
        <v>21.11598049503117</v>
      </c>
      <c r="L11">
        <v>3.8209337869151504E-2</v>
      </c>
      <c r="M11" s="11">
        <v>28.11</v>
      </c>
      <c r="N11" s="12">
        <v>104.49</v>
      </c>
      <c r="O11" s="13">
        <v>8.3553733926125897</v>
      </c>
      <c r="P11">
        <v>8.3553733926125897</v>
      </c>
    </row>
    <row r="12" spans="1:16" ht="15.5" x14ac:dyDescent="0.35">
      <c r="A12" s="3">
        <v>31</v>
      </c>
      <c r="B12" s="1" t="s">
        <v>12</v>
      </c>
      <c r="C12" s="5">
        <v>7671</v>
      </c>
      <c r="D12" s="5">
        <v>11480</v>
      </c>
      <c r="E12" s="7">
        <f t="shared" si="0"/>
        <v>66.820557491289208</v>
      </c>
      <c r="F12" s="8">
        <v>642</v>
      </c>
      <c r="G12" s="7">
        <v>5128</v>
      </c>
      <c r="H12" s="8">
        <v>13412</v>
      </c>
      <c r="I12" s="10">
        <f t="shared" si="1"/>
        <v>38.234416940053684</v>
      </c>
      <c r="J12" s="10">
        <f t="shared" si="2"/>
        <v>4.7867581270504029</v>
      </c>
      <c r="K12" s="4">
        <v>29.65254995526394</v>
      </c>
      <c r="L12">
        <v>0.29004423174534116</v>
      </c>
      <c r="M12" s="11">
        <v>49.26</v>
      </c>
      <c r="N12" s="12">
        <v>107.7</v>
      </c>
      <c r="O12" s="13">
        <v>0.46730197130267154</v>
      </c>
      <c r="P12">
        <v>0.46730197130267154</v>
      </c>
    </row>
    <row r="13" spans="1:16" ht="15.5" x14ac:dyDescent="0.35">
      <c r="A13" s="3">
        <v>32</v>
      </c>
      <c r="B13" s="1" t="s">
        <v>13</v>
      </c>
      <c r="C13" s="5">
        <v>4620658</v>
      </c>
      <c r="D13" s="5">
        <v>5941381</v>
      </c>
      <c r="E13" s="7">
        <f t="shared" si="0"/>
        <v>77.770774168497198</v>
      </c>
      <c r="F13" s="8">
        <v>349059</v>
      </c>
      <c r="G13" s="7">
        <v>1503081</v>
      </c>
      <c r="H13" s="8">
        <v>3292107</v>
      </c>
      <c r="I13" s="10">
        <f t="shared" si="1"/>
        <v>45.657112602962172</v>
      </c>
      <c r="J13" s="10">
        <f t="shared" si="2"/>
        <v>10.602905677124102</v>
      </c>
      <c r="K13" s="4">
        <v>79.728666170327998</v>
      </c>
      <c r="L13">
        <v>1.8763281169590005E-2</v>
      </c>
      <c r="M13" s="11">
        <v>57.71</v>
      </c>
      <c r="N13" s="12">
        <v>107.46</v>
      </c>
      <c r="O13" s="13">
        <v>15.330299641782505</v>
      </c>
      <c r="P13">
        <v>15.330299641782505</v>
      </c>
    </row>
    <row r="14" spans="1:16" ht="15.5" x14ac:dyDescent="0.35">
      <c r="A14" s="3">
        <v>33</v>
      </c>
      <c r="B14" s="1" t="s">
        <v>14</v>
      </c>
      <c r="C14" s="5">
        <v>7301915</v>
      </c>
      <c r="D14" s="5">
        <v>9174010</v>
      </c>
      <c r="E14" s="7">
        <f t="shared" si="0"/>
        <v>79.593492921852061</v>
      </c>
      <c r="F14" s="8">
        <v>435192</v>
      </c>
      <c r="G14" s="7">
        <v>2143472</v>
      </c>
      <c r="H14" s="8">
        <v>4363201</v>
      </c>
      <c r="I14" s="10">
        <f t="shared" si="1"/>
        <v>49.126134688729671</v>
      </c>
      <c r="J14" s="10">
        <f t="shared" si="2"/>
        <v>9.9741451287712852</v>
      </c>
      <c r="K14" s="4">
        <v>74.264926140235119</v>
      </c>
      <c r="L14">
        <v>6.4821906964300765E-3</v>
      </c>
      <c r="M14" s="11">
        <v>55.3</v>
      </c>
      <c r="N14" s="12">
        <v>111.14</v>
      </c>
      <c r="O14" s="13">
        <v>24.428888569266654</v>
      </c>
      <c r="P14">
        <v>24.428888569266654</v>
      </c>
    </row>
    <row r="15" spans="1:16" ht="15.5" x14ac:dyDescent="0.35">
      <c r="A15" s="3">
        <v>34</v>
      </c>
      <c r="B15" s="1" t="s">
        <v>15</v>
      </c>
      <c r="C15" s="5">
        <v>921448</v>
      </c>
      <c r="D15" s="5">
        <v>1075492</v>
      </c>
      <c r="E15" s="7">
        <f t="shared" si="0"/>
        <v>85.676880906599024</v>
      </c>
      <c r="F15" s="8">
        <v>48407</v>
      </c>
      <c r="G15" s="7">
        <v>248634</v>
      </c>
      <c r="H15" s="8">
        <v>431132</v>
      </c>
      <c r="I15" s="10">
        <f t="shared" si="1"/>
        <v>57.670040729985253</v>
      </c>
      <c r="J15" s="10">
        <f t="shared" si="2"/>
        <v>11.227883803568281</v>
      </c>
      <c r="K15" s="4">
        <v>74.19259066828721</v>
      </c>
      <c r="L15">
        <v>8.1074069269684787E-3</v>
      </c>
      <c r="M15" s="11">
        <v>50.53</v>
      </c>
      <c r="N15" s="12">
        <v>103.68</v>
      </c>
      <c r="O15" s="13">
        <v>19.650186240191427</v>
      </c>
      <c r="P15">
        <v>19.650186240191427</v>
      </c>
    </row>
    <row r="16" spans="1:16" ht="15.5" x14ac:dyDescent="0.35">
      <c r="A16" s="3">
        <v>35</v>
      </c>
      <c r="B16" s="1" t="s">
        <v>16</v>
      </c>
      <c r="C16" s="5">
        <v>8514188</v>
      </c>
      <c r="D16" s="5">
        <v>10956008</v>
      </c>
      <c r="E16" s="7">
        <f t="shared" si="0"/>
        <v>77.712502583057628</v>
      </c>
      <c r="F16" s="8">
        <v>742470</v>
      </c>
      <c r="G16" s="7">
        <v>2586760</v>
      </c>
      <c r="H16" s="8">
        <v>5676675</v>
      </c>
      <c r="I16" s="10">
        <f t="shared" si="1"/>
        <v>45.568224356687672</v>
      </c>
      <c r="J16" s="10">
        <f t="shared" si="2"/>
        <v>13.079311392672647</v>
      </c>
      <c r="K16" s="4">
        <v>69.849674325199175</v>
      </c>
      <c r="L16">
        <v>1.1164133899170614E-2</v>
      </c>
      <c r="M16" s="11">
        <v>57.19</v>
      </c>
      <c r="N16" s="12">
        <v>109.47</v>
      </c>
      <c r="O16" s="13">
        <v>31.49136352150186</v>
      </c>
      <c r="P16">
        <v>31.49136352150186</v>
      </c>
    </row>
    <row r="17" spans="1:16" ht="15.5" x14ac:dyDescent="0.35">
      <c r="A17" s="3">
        <v>36</v>
      </c>
      <c r="B17" s="1" t="s">
        <v>17</v>
      </c>
      <c r="C17" s="5">
        <v>712688</v>
      </c>
      <c r="D17" s="5">
        <v>1018244</v>
      </c>
      <c r="E17" s="7">
        <f t="shared" si="0"/>
        <v>69.9918683537541</v>
      </c>
      <c r="F17" s="8">
        <v>64735</v>
      </c>
      <c r="G17" s="7">
        <v>247323</v>
      </c>
      <c r="H17" s="8">
        <v>609222</v>
      </c>
      <c r="I17" s="10">
        <f t="shared" si="1"/>
        <v>40.596531313708304</v>
      </c>
      <c r="J17" s="10">
        <f t="shared" si="2"/>
        <v>10.625847392247818</v>
      </c>
      <c r="K17" s="4">
        <v>73.075660432486018</v>
      </c>
      <c r="L17">
        <v>3.3958865478598534E-2</v>
      </c>
      <c r="M17" s="11">
        <v>54.19</v>
      </c>
      <c r="N17" s="12">
        <v>106.09</v>
      </c>
      <c r="O17" s="13">
        <v>12.008615364090131</v>
      </c>
      <c r="P17">
        <v>12.008615364090131</v>
      </c>
    </row>
    <row r="18" spans="1:16" ht="15.5" x14ac:dyDescent="0.35">
      <c r="A18" s="3">
        <v>51</v>
      </c>
      <c r="B18" s="1" t="s">
        <v>18</v>
      </c>
      <c r="C18" s="5">
        <v>478000</v>
      </c>
      <c r="D18" s="5">
        <v>737251</v>
      </c>
      <c r="E18" s="7">
        <f t="shared" si="0"/>
        <v>64.835449528044037</v>
      </c>
      <c r="F18" s="8">
        <v>21600</v>
      </c>
      <c r="G18" s="7">
        <v>162710</v>
      </c>
      <c r="H18" s="8">
        <v>369266</v>
      </c>
      <c r="I18" s="10">
        <f t="shared" si="1"/>
        <v>44.063087313752149</v>
      </c>
      <c r="J18" s="10">
        <f t="shared" si="2"/>
        <v>5.8494418657553098</v>
      </c>
      <c r="K18" s="4">
        <v>65.36236750743366</v>
      </c>
      <c r="L18">
        <v>2.7589266152568639E-2</v>
      </c>
      <c r="M18" s="11">
        <v>62.07</v>
      </c>
      <c r="N18" s="12">
        <v>99.5</v>
      </c>
      <c r="O18" s="13">
        <v>18.936854232688624</v>
      </c>
      <c r="P18">
        <v>18.936854232688624</v>
      </c>
    </row>
    <row r="19" spans="1:16" ht="15.5" x14ac:dyDescent="0.35">
      <c r="A19" s="3">
        <v>52</v>
      </c>
      <c r="B19" s="1" t="s">
        <v>19</v>
      </c>
      <c r="C19" s="5">
        <v>739082</v>
      </c>
      <c r="D19" s="5">
        <v>1251684</v>
      </c>
      <c r="E19" s="7">
        <f t="shared" si="0"/>
        <v>59.047011865614643</v>
      </c>
      <c r="F19" s="8">
        <v>100014</v>
      </c>
      <c r="G19" s="7">
        <v>224967</v>
      </c>
      <c r="H19" s="8">
        <v>768744</v>
      </c>
      <c r="I19" s="10">
        <f t="shared" si="1"/>
        <v>29.264228403733881</v>
      </c>
      <c r="J19" s="10">
        <f t="shared" si="2"/>
        <v>13.010052761387406</v>
      </c>
      <c r="K19" s="4">
        <v>73.066846700592137</v>
      </c>
      <c r="L19">
        <v>1.8069383834011261E-2</v>
      </c>
      <c r="M19" s="11">
        <v>53.51</v>
      </c>
      <c r="N19" s="12">
        <v>115.47</v>
      </c>
      <c r="O19" s="13">
        <v>33.541135064096494</v>
      </c>
      <c r="P19">
        <v>33.541135064096494</v>
      </c>
    </row>
    <row r="20" spans="1:16" ht="15.5" x14ac:dyDescent="0.35">
      <c r="A20" s="3">
        <v>53</v>
      </c>
      <c r="B20" s="1" t="s">
        <v>20</v>
      </c>
      <c r="C20" s="5">
        <v>1221568</v>
      </c>
      <c r="D20" s="5">
        <v>2340083</v>
      </c>
      <c r="E20" s="7">
        <f t="shared" si="0"/>
        <v>52.201909077583998</v>
      </c>
      <c r="F20" s="8">
        <v>142418</v>
      </c>
      <c r="G20" s="7">
        <v>328063</v>
      </c>
      <c r="H20" s="8">
        <v>901781</v>
      </c>
      <c r="I20" s="10">
        <f t="shared" si="1"/>
        <v>36.379453548034391</v>
      </c>
      <c r="J20" s="10">
        <f t="shared" si="2"/>
        <v>15.792969689980159</v>
      </c>
      <c r="K20" s="4">
        <v>37.340218966689257</v>
      </c>
      <c r="L20">
        <v>5.3193552498157623E-3</v>
      </c>
      <c r="M20" s="11">
        <v>41.52</v>
      </c>
      <c r="N20" s="12">
        <v>96.8</v>
      </c>
      <c r="O20" s="13">
        <v>49.059287838969986</v>
      </c>
      <c r="P20">
        <v>49.059287838969986</v>
      </c>
    </row>
    <row r="21" spans="1:16" ht="15.5" x14ac:dyDescent="0.35">
      <c r="A21" s="3">
        <v>61</v>
      </c>
      <c r="B21" s="1" t="s">
        <v>21</v>
      </c>
      <c r="C21" s="5">
        <v>215976</v>
      </c>
      <c r="D21" s="5">
        <v>1144074</v>
      </c>
      <c r="E21" s="7">
        <f t="shared" si="0"/>
        <v>18.877799862596301</v>
      </c>
      <c r="F21" s="8">
        <v>68111</v>
      </c>
      <c r="G21" s="7">
        <v>211237</v>
      </c>
      <c r="H21" s="8">
        <v>729751</v>
      </c>
      <c r="I21" s="10">
        <f t="shared" si="1"/>
        <v>28.946448857212943</v>
      </c>
      <c r="J21" s="10">
        <f t="shared" si="2"/>
        <v>9.3334575766254524</v>
      </c>
      <c r="K21" s="4">
        <v>55.217738653321483</v>
      </c>
      <c r="L21">
        <v>5.7900312908074014E-2</v>
      </c>
      <c r="M21" s="11">
        <v>31.25</v>
      </c>
      <c r="N21" s="12">
        <v>139.03</v>
      </c>
      <c r="O21" s="13">
        <v>47.491662898230608</v>
      </c>
      <c r="P21">
        <v>47.491662898230608</v>
      </c>
    </row>
    <row r="22" spans="1:16" ht="15.5" x14ac:dyDescent="0.35">
      <c r="A22" s="3">
        <v>62</v>
      </c>
      <c r="B22" s="1" t="s">
        <v>22</v>
      </c>
      <c r="C22" s="5">
        <v>96691</v>
      </c>
      <c r="D22" s="5">
        <v>459499</v>
      </c>
      <c r="E22" s="7">
        <f t="shared" si="0"/>
        <v>21.042700854626453</v>
      </c>
      <c r="F22" s="8">
        <v>29825</v>
      </c>
      <c r="G22" s="7">
        <v>92272</v>
      </c>
      <c r="H22" s="8">
        <v>310536</v>
      </c>
      <c r="I22" s="10">
        <f t="shared" si="1"/>
        <v>29.713785197207411</v>
      </c>
      <c r="J22" s="10">
        <f t="shared" si="2"/>
        <v>9.6043614910992599</v>
      </c>
      <c r="K22" s="4">
        <v>43.952391993198859</v>
      </c>
      <c r="L22">
        <v>8.7780785975652892E-2</v>
      </c>
      <c r="M22" s="11">
        <v>32.56</v>
      </c>
      <c r="N22" s="12">
        <v>118.57</v>
      </c>
      <c r="O22" s="13">
        <v>36.000963052134452</v>
      </c>
      <c r="P22">
        <v>36.000963052134452</v>
      </c>
    </row>
    <row r="23" spans="1:16" ht="15.5" x14ac:dyDescent="0.35">
      <c r="A23" s="3">
        <v>63</v>
      </c>
      <c r="B23" s="1" t="s">
        <v>23</v>
      </c>
      <c r="C23" s="5">
        <v>269646</v>
      </c>
      <c r="D23" s="5">
        <v>702237</v>
      </c>
      <c r="E23" s="7">
        <f t="shared" si="0"/>
        <v>38.398147633918462</v>
      </c>
      <c r="F23" s="8">
        <v>62513</v>
      </c>
      <c r="G23" s="7">
        <v>158957</v>
      </c>
      <c r="H23" s="8">
        <v>487948</v>
      </c>
      <c r="I23" s="10">
        <f t="shared" si="1"/>
        <v>32.576627017633022</v>
      </c>
      <c r="J23" s="10">
        <f t="shared" si="2"/>
        <v>12.811406133440448</v>
      </c>
      <c r="K23" s="4">
        <v>62.024232090304707</v>
      </c>
      <c r="L23">
        <v>3.1937696923539927E-2</v>
      </c>
      <c r="M23" s="11">
        <v>40.86</v>
      </c>
      <c r="N23" s="12">
        <v>109.48</v>
      </c>
      <c r="O23" s="13">
        <v>29.467692400901868</v>
      </c>
      <c r="P23">
        <v>29.467692400901868</v>
      </c>
    </row>
    <row r="24" spans="1:16" ht="15.5" x14ac:dyDescent="0.35">
      <c r="A24" s="3">
        <v>64</v>
      </c>
      <c r="B24" s="1" t="s">
        <v>24</v>
      </c>
      <c r="C24" s="5">
        <v>64769</v>
      </c>
      <c r="D24" s="5">
        <v>278098</v>
      </c>
      <c r="E24" s="7">
        <f t="shared" si="0"/>
        <v>23.28999129803163</v>
      </c>
      <c r="F24" s="8">
        <v>17066</v>
      </c>
      <c r="G24" s="7">
        <v>71104</v>
      </c>
      <c r="H24" s="8">
        <v>210030</v>
      </c>
      <c r="I24" s="10">
        <f t="shared" si="1"/>
        <v>33.854211303147167</v>
      </c>
      <c r="J24" s="10">
        <f t="shared" si="2"/>
        <v>8.1255058801123639</v>
      </c>
      <c r="K24" s="4">
        <v>51.820692282054949</v>
      </c>
      <c r="L24">
        <v>0.16004179132829938</v>
      </c>
      <c r="M24" s="11">
        <v>39.76</v>
      </c>
      <c r="N24" s="12">
        <v>129.04</v>
      </c>
      <c r="O24" s="13">
        <v>19.210142397397277</v>
      </c>
      <c r="P24">
        <v>19.210142397397277</v>
      </c>
    </row>
    <row r="25" spans="1:16" ht="15.5" x14ac:dyDescent="0.35">
      <c r="A25" s="3">
        <v>65</v>
      </c>
      <c r="B25" s="1" t="s">
        <v>25</v>
      </c>
      <c r="C25" s="5">
        <v>21632</v>
      </c>
      <c r="D25" s="5">
        <v>91444</v>
      </c>
      <c r="E25" s="7">
        <f t="shared" si="0"/>
        <v>23.656008048641791</v>
      </c>
      <c r="F25" s="8">
        <v>4239</v>
      </c>
      <c r="G25" s="7">
        <v>17261</v>
      </c>
      <c r="H25" s="8">
        <v>61220</v>
      </c>
      <c r="I25" s="10">
        <f t="shared" si="1"/>
        <v>28.19503430251552</v>
      </c>
      <c r="J25" s="10">
        <f t="shared" si="2"/>
        <v>6.9242077752368516</v>
      </c>
      <c r="K25" s="4">
        <v>32.167592290101275</v>
      </c>
      <c r="L25">
        <v>0.1076180537438038</v>
      </c>
      <c r="M25" s="11">
        <v>36.31</v>
      </c>
      <c r="N25" s="12">
        <v>111.92</v>
      </c>
      <c r="O25" s="13">
        <v>33.093990920568409</v>
      </c>
      <c r="P25">
        <v>33.093990920568409</v>
      </c>
    </row>
    <row r="26" spans="1:16" ht="15.5" x14ac:dyDescent="0.35">
      <c r="A26" s="3">
        <v>71</v>
      </c>
      <c r="B26" s="1" t="s">
        <v>26</v>
      </c>
      <c r="C26" s="5">
        <v>133839</v>
      </c>
      <c r="D26" s="5">
        <v>415097</v>
      </c>
      <c r="E26" s="7">
        <f t="shared" si="0"/>
        <v>32.242825170984126</v>
      </c>
      <c r="F26" s="8">
        <v>22560</v>
      </c>
      <c r="G26" s="7">
        <v>112149</v>
      </c>
      <c r="H26" s="8">
        <v>271265</v>
      </c>
      <c r="I26" s="10">
        <f t="shared" si="1"/>
        <v>41.34296720918659</v>
      </c>
      <c r="J26" s="10">
        <f t="shared" si="2"/>
        <v>8.3165907876062146</v>
      </c>
      <c r="K26" s="4">
        <v>33.515197316277437</v>
      </c>
      <c r="L26">
        <v>1.3623978201634877E-2</v>
      </c>
      <c r="M26" s="11">
        <v>43.65</v>
      </c>
      <c r="N26" s="12">
        <v>109.22</v>
      </c>
      <c r="O26" s="13">
        <v>22.82444993716765</v>
      </c>
      <c r="P26">
        <v>22.82444993716765</v>
      </c>
    </row>
    <row r="27" spans="1:16" ht="15.5" x14ac:dyDescent="0.35">
      <c r="A27" s="3">
        <v>72</v>
      </c>
      <c r="B27" s="1" t="s">
        <v>27</v>
      </c>
      <c r="C27" s="5">
        <v>151716</v>
      </c>
      <c r="D27" s="5">
        <v>796016</v>
      </c>
      <c r="E27" s="7">
        <f t="shared" si="0"/>
        <v>19.059415891137867</v>
      </c>
      <c r="F27" s="8">
        <v>38589</v>
      </c>
      <c r="G27" s="7">
        <v>137549</v>
      </c>
      <c r="H27" s="8">
        <v>457454</v>
      </c>
      <c r="I27" s="10">
        <f t="shared" si="1"/>
        <v>30.068378459910722</v>
      </c>
      <c r="J27" s="10">
        <f t="shared" si="2"/>
        <v>8.4356022682062015</v>
      </c>
      <c r="K27" s="4">
        <v>39.128087195652462</v>
      </c>
      <c r="L27">
        <v>1.02717422186089E-2</v>
      </c>
      <c r="M27" s="11">
        <v>46.22</v>
      </c>
      <c r="N27" s="12">
        <v>106.35</v>
      </c>
      <c r="O27" s="13">
        <v>40.579923718740488</v>
      </c>
      <c r="P27">
        <v>40.579923718740488</v>
      </c>
    </row>
    <row r="28" spans="1:16" ht="15.5" x14ac:dyDescent="0.35">
      <c r="A28" s="3">
        <v>73</v>
      </c>
      <c r="B28" s="1" t="s">
        <v>28</v>
      </c>
      <c r="C28" s="5">
        <v>726998</v>
      </c>
      <c r="D28" s="5">
        <v>1989661</v>
      </c>
      <c r="E28" s="7">
        <f t="shared" si="0"/>
        <v>36.538787260744421</v>
      </c>
      <c r="F28" s="8">
        <v>114960</v>
      </c>
      <c r="G28" s="7">
        <v>369683</v>
      </c>
      <c r="H28" s="8">
        <v>1121658</v>
      </c>
      <c r="I28" s="10">
        <f t="shared" si="1"/>
        <v>32.958620185475432</v>
      </c>
      <c r="J28" s="10">
        <f t="shared" si="2"/>
        <v>10.249113366106247</v>
      </c>
      <c r="K28" s="4">
        <v>77.526037348282628</v>
      </c>
      <c r="L28">
        <v>8.1990661976563146E-3</v>
      </c>
      <c r="M28" s="11">
        <v>50.39</v>
      </c>
      <c r="N28" s="12">
        <v>107.93</v>
      </c>
      <c r="O28" s="13">
        <v>35.844513328151095</v>
      </c>
      <c r="P28">
        <v>35.844513328151095</v>
      </c>
    </row>
    <row r="29" spans="1:16" ht="15.5" x14ac:dyDescent="0.35">
      <c r="A29" s="3">
        <v>74</v>
      </c>
      <c r="B29" s="1" t="s">
        <v>29</v>
      </c>
      <c r="C29" s="5">
        <v>146709</v>
      </c>
      <c r="D29" s="5">
        <v>591920</v>
      </c>
      <c r="E29" s="7">
        <f t="shared" si="0"/>
        <v>24.785275037167185</v>
      </c>
      <c r="F29" s="8">
        <v>40826</v>
      </c>
      <c r="G29" s="7">
        <v>108424</v>
      </c>
      <c r="H29" s="8">
        <v>349834</v>
      </c>
      <c r="I29" s="10">
        <f t="shared" si="1"/>
        <v>30.992985244430216</v>
      </c>
      <c r="J29" s="10">
        <f t="shared" si="2"/>
        <v>11.670106393317974</v>
      </c>
      <c r="K29" s="4">
        <v>36.716271145743413</v>
      </c>
      <c r="L29">
        <v>1.2573979292942282E-2</v>
      </c>
      <c r="M29" s="11">
        <v>42.08</v>
      </c>
      <c r="N29" s="12">
        <v>101.97</v>
      </c>
      <c r="O29" s="13">
        <v>30.814935929685422</v>
      </c>
      <c r="P29">
        <v>30.814935929685422</v>
      </c>
    </row>
    <row r="30" spans="1:16" ht="15.5" x14ac:dyDescent="0.35">
      <c r="A30" s="3">
        <v>75</v>
      </c>
      <c r="B30" s="1" t="s">
        <v>30</v>
      </c>
      <c r="C30" s="5">
        <v>55370</v>
      </c>
      <c r="D30" s="5">
        <v>262821</v>
      </c>
      <c r="E30" s="7">
        <f t="shared" si="0"/>
        <v>21.067570704015282</v>
      </c>
      <c r="F30" s="8">
        <v>10153</v>
      </c>
      <c r="G30" s="7">
        <v>44489</v>
      </c>
      <c r="H30" s="8">
        <v>149235</v>
      </c>
      <c r="I30" s="10">
        <f t="shared" si="1"/>
        <v>29.811371327101551</v>
      </c>
      <c r="J30" s="10">
        <f t="shared" si="2"/>
        <v>6.8033638221596799</v>
      </c>
      <c r="K30" s="4">
        <v>62.733943109860292</v>
      </c>
      <c r="L30">
        <v>1.8754939917210337E-2</v>
      </c>
      <c r="M30" s="11">
        <v>50.68</v>
      </c>
      <c r="N30" s="12">
        <v>106.19</v>
      </c>
      <c r="O30" s="13">
        <v>29.789508187376189</v>
      </c>
      <c r="P30">
        <v>29.789508187376189</v>
      </c>
    </row>
    <row r="31" spans="1:16" ht="15.5" x14ac:dyDescent="0.35">
      <c r="A31" s="3">
        <v>76</v>
      </c>
      <c r="B31" s="1" t="s">
        <v>31</v>
      </c>
      <c r="C31" s="5">
        <v>110944</v>
      </c>
      <c r="D31" s="5">
        <v>370995</v>
      </c>
      <c r="E31" s="7">
        <f t="shared" si="0"/>
        <v>29.904446151565384</v>
      </c>
      <c r="F31" s="8">
        <v>21526</v>
      </c>
      <c r="G31" s="7">
        <v>57580</v>
      </c>
      <c r="H31" s="8">
        <v>206299</v>
      </c>
      <c r="I31" s="10">
        <f t="shared" si="1"/>
        <v>27.910944793721733</v>
      </c>
      <c r="J31" s="10">
        <f t="shared" si="2"/>
        <v>10.434369531602188</v>
      </c>
      <c r="K31" s="4">
        <v>62.969282449260547</v>
      </c>
      <c r="L31">
        <v>7.7540417942852709E-3</v>
      </c>
      <c r="M31" s="11">
        <v>49.73</v>
      </c>
      <c r="N31" s="12">
        <v>121.47</v>
      </c>
      <c r="O31" s="13">
        <v>48.250958604696862</v>
      </c>
      <c r="P31">
        <v>48.250958604696862</v>
      </c>
    </row>
    <row r="32" spans="1:16" ht="15.5" x14ac:dyDescent="0.35">
      <c r="A32" s="3">
        <v>81</v>
      </c>
      <c r="B32" s="1" t="s">
        <v>32</v>
      </c>
      <c r="C32" s="5">
        <v>193851</v>
      </c>
      <c r="D32" s="5">
        <v>374314</v>
      </c>
      <c r="E32" s="7">
        <f t="shared" si="0"/>
        <v>51.788338133225039</v>
      </c>
      <c r="F32" s="8">
        <v>19879</v>
      </c>
      <c r="G32" s="7">
        <v>68000</v>
      </c>
      <c r="H32" s="8">
        <v>208851</v>
      </c>
      <c r="I32" s="10">
        <f t="shared" si="1"/>
        <v>32.559097155388287</v>
      </c>
      <c r="J32" s="10">
        <f t="shared" si="2"/>
        <v>9.518269005175938</v>
      </c>
      <c r="K32" s="4">
        <v>7.1596497024194283</v>
      </c>
      <c r="L32">
        <v>1.5308660874889968E-2</v>
      </c>
      <c r="M32" s="11">
        <v>35.32</v>
      </c>
      <c r="N32" s="12">
        <v>104.41</v>
      </c>
      <c r="O32" s="13">
        <v>31.597156298124592</v>
      </c>
      <c r="P32">
        <v>31.597156298124592</v>
      </c>
    </row>
    <row r="33" spans="1:16" ht="15.5" x14ac:dyDescent="0.35">
      <c r="A33" s="3">
        <v>82</v>
      </c>
      <c r="B33" s="1" t="s">
        <v>33</v>
      </c>
      <c r="C33" s="5">
        <v>44178</v>
      </c>
      <c r="D33" s="5">
        <v>233000</v>
      </c>
      <c r="E33" s="7">
        <f t="shared" si="0"/>
        <v>18.96051502145923</v>
      </c>
      <c r="F33" s="8">
        <v>13675</v>
      </c>
      <c r="G33" s="7">
        <v>46156</v>
      </c>
      <c r="H33" s="8">
        <v>153787</v>
      </c>
      <c r="I33" s="10">
        <f t="shared" si="1"/>
        <v>30.012939975420551</v>
      </c>
      <c r="J33" s="10">
        <f t="shared" si="2"/>
        <v>8.8921690389954939</v>
      </c>
      <c r="K33" s="4">
        <v>5.9166249422903103</v>
      </c>
      <c r="L33">
        <v>1.4298713115819576E-2</v>
      </c>
      <c r="M33" s="11">
        <v>34.590000000000003</v>
      </c>
      <c r="N33" s="12">
        <v>103.37</v>
      </c>
      <c r="O33" s="13">
        <v>25.338782635548508</v>
      </c>
      <c r="P33">
        <v>25.338782635548508</v>
      </c>
    </row>
    <row r="34" spans="1:16" ht="15.5" x14ac:dyDescent="0.35">
      <c r="A34" s="3">
        <v>91</v>
      </c>
      <c r="B34" s="1" t="s">
        <v>34</v>
      </c>
      <c r="C34" s="5">
        <v>55598</v>
      </c>
      <c r="D34" s="5">
        <v>91940</v>
      </c>
      <c r="E34" s="7">
        <f t="shared" si="0"/>
        <v>60.472046987165541</v>
      </c>
      <c r="F34" s="8">
        <v>5669</v>
      </c>
      <c r="G34" s="7">
        <v>11589</v>
      </c>
      <c r="H34" s="8">
        <v>50100</v>
      </c>
      <c r="I34" s="10">
        <f t="shared" si="1"/>
        <v>23.13173652694611</v>
      </c>
      <c r="J34" s="10">
        <f t="shared" si="2"/>
        <v>11.315369261477045</v>
      </c>
      <c r="K34" s="4">
        <v>14.68263473053892</v>
      </c>
      <c r="L34">
        <v>4.9763127513037943E-2</v>
      </c>
      <c r="M34" s="11">
        <v>45.08</v>
      </c>
      <c r="N34" s="12">
        <v>99.83</v>
      </c>
      <c r="O34" s="13">
        <v>35.586566182251914</v>
      </c>
      <c r="P34">
        <v>35.586566182251914</v>
      </c>
    </row>
    <row r="35" spans="1:16" ht="15.5" x14ac:dyDescent="0.35">
      <c r="A35" s="3">
        <v>92</v>
      </c>
      <c r="B35" s="1" t="s">
        <v>35</v>
      </c>
      <c r="C35" s="5">
        <v>36396</v>
      </c>
      <c r="D35" s="5">
        <v>54293</v>
      </c>
      <c r="E35" s="7">
        <f t="shared" si="0"/>
        <v>67.036266185327761</v>
      </c>
      <c r="F35" s="8">
        <v>3477</v>
      </c>
      <c r="G35" s="7">
        <v>9683</v>
      </c>
      <c r="H35" s="8">
        <v>32990</v>
      </c>
      <c r="I35" s="10">
        <f t="shared" si="1"/>
        <v>29.351318581388298</v>
      </c>
      <c r="J35" s="10">
        <f t="shared" si="2"/>
        <v>10.539557441648984</v>
      </c>
      <c r="K35" s="4">
        <v>13.792058199454379</v>
      </c>
      <c r="L35">
        <v>4.8458416621236899E-2</v>
      </c>
      <c r="M35" s="11">
        <v>41.34</v>
      </c>
      <c r="N35" s="12" t="s">
        <v>53</v>
      </c>
      <c r="O35" s="13" t="s">
        <v>53</v>
      </c>
      <c r="P35" t="s">
        <v>53</v>
      </c>
    </row>
    <row r="36" spans="1:16" ht="15.5" x14ac:dyDescent="0.35">
      <c r="A36" s="3">
        <v>94</v>
      </c>
      <c r="B36" s="1" t="s">
        <v>36</v>
      </c>
      <c r="C36" s="5">
        <v>94951</v>
      </c>
      <c r="D36" s="5">
        <v>130290</v>
      </c>
      <c r="E36" s="7">
        <f t="shared" si="0"/>
        <v>72.876659758999153</v>
      </c>
      <c r="F36" s="8">
        <v>8949</v>
      </c>
      <c r="G36" s="7">
        <v>22038</v>
      </c>
      <c r="H36" s="8">
        <v>73669</v>
      </c>
      <c r="I36" s="10">
        <f t="shared" si="1"/>
        <v>29.914889573633413</v>
      </c>
      <c r="J36" s="10">
        <f t="shared" si="2"/>
        <v>12.147579035958136</v>
      </c>
      <c r="K36" s="4">
        <v>16.567348545521181</v>
      </c>
      <c r="L36">
        <v>3.6620597051363779E-2</v>
      </c>
      <c r="M36" s="11">
        <v>44.76</v>
      </c>
      <c r="N36" s="12">
        <v>100.19</v>
      </c>
      <c r="O36" s="13">
        <v>68.046838090003575</v>
      </c>
      <c r="P36">
        <v>68.046838090003575</v>
      </c>
    </row>
    <row r="37" spans="1:16" ht="15.5" x14ac:dyDescent="0.35">
      <c r="A37" s="3">
        <v>95</v>
      </c>
      <c r="B37" s="1" t="s">
        <v>37</v>
      </c>
      <c r="C37" s="5">
        <v>50738</v>
      </c>
      <c r="D37" s="5">
        <v>103826</v>
      </c>
      <c r="E37" s="7">
        <f t="shared" si="0"/>
        <v>48.868298884672434</v>
      </c>
      <c r="F37" s="8">
        <v>8211</v>
      </c>
      <c r="G37" s="7">
        <v>13603</v>
      </c>
      <c r="H37" s="8">
        <v>67637</v>
      </c>
      <c r="I37" s="10">
        <f t="shared" si="1"/>
        <v>20.111773141919365</v>
      </c>
      <c r="J37" s="10">
        <f t="shared" si="2"/>
        <v>12.139805136241998</v>
      </c>
      <c r="K37" s="4">
        <v>21.466061475228056</v>
      </c>
      <c r="L37">
        <v>2.5127113633676243E-2</v>
      </c>
      <c r="M37" s="11">
        <v>40.98</v>
      </c>
      <c r="N37" s="12" t="s">
        <v>53</v>
      </c>
      <c r="O37" s="13" t="s">
        <v>53</v>
      </c>
      <c r="P37" s="13" t="s">
        <v>53</v>
      </c>
    </row>
    <row r="38" spans="1:16" ht="15.5" x14ac:dyDescent="0.35">
      <c r="A38" s="3">
        <v>96</v>
      </c>
      <c r="B38" s="1" t="s">
        <v>38</v>
      </c>
      <c r="C38" s="5">
        <v>312604</v>
      </c>
      <c r="D38" s="5">
        <v>338571</v>
      </c>
      <c r="E38" s="7">
        <f t="shared" si="0"/>
        <v>92.330412232589325</v>
      </c>
      <c r="F38" s="8">
        <v>16720</v>
      </c>
      <c r="G38" s="7">
        <v>31705</v>
      </c>
      <c r="H38" s="8">
        <v>205433</v>
      </c>
      <c r="I38" s="10">
        <f t="shared" si="1"/>
        <v>15.433255611318533</v>
      </c>
      <c r="J38" s="10">
        <f t="shared" si="2"/>
        <v>8.1389066021525256</v>
      </c>
      <c r="K38" s="4">
        <v>7.4618001976313453</v>
      </c>
      <c r="L38">
        <v>2.9205038842701663E-3</v>
      </c>
      <c r="M38" s="11">
        <v>44.28</v>
      </c>
      <c r="N38" s="12" t="s">
        <v>53</v>
      </c>
      <c r="O38" s="13" t="s">
        <v>53</v>
      </c>
      <c r="P38" s="13" t="s">
        <v>53</v>
      </c>
    </row>
    <row r="39" spans="1:16" ht="15.5" x14ac:dyDescent="0.35">
      <c r="A39" s="3">
        <v>97</v>
      </c>
      <c r="B39" s="1" t="s">
        <v>39</v>
      </c>
      <c r="C39" s="5">
        <v>446097</v>
      </c>
      <c r="D39" s="5">
        <v>483897</v>
      </c>
      <c r="E39" s="7">
        <f t="shared" si="0"/>
        <v>92.188420262989851</v>
      </c>
      <c r="F39" s="8">
        <v>23017</v>
      </c>
      <c r="G39" s="7">
        <v>37337</v>
      </c>
      <c r="H39" s="8">
        <v>221166</v>
      </c>
      <c r="I39" s="10">
        <f t="shared" si="1"/>
        <v>16.881889621370373</v>
      </c>
      <c r="J39" s="10">
        <f t="shared" si="2"/>
        <v>10.407115017679027</v>
      </c>
      <c r="K39" s="4">
        <v>10.403497825162999</v>
      </c>
      <c r="L39">
        <v>0</v>
      </c>
      <c r="M39" s="11">
        <v>43.59</v>
      </c>
      <c r="N39" s="12" t="s">
        <v>53</v>
      </c>
      <c r="O39" s="13" t="s">
        <v>53</v>
      </c>
      <c r="P39" t="s">
        <v>53</v>
      </c>
    </row>
    <row r="40" spans="1:16" ht="15.5" x14ac:dyDescent="0.35">
      <c r="A40" s="7"/>
      <c r="B40" s="7"/>
      <c r="C40" s="9"/>
      <c r="D40" s="9"/>
      <c r="E40" s="7"/>
      <c r="F40" s="8"/>
      <c r="G40" s="7"/>
      <c r="H40" s="8"/>
      <c r="I40" s="10"/>
      <c r="J40" s="10"/>
      <c r="K40" s="4"/>
      <c r="M40" s="11"/>
      <c r="N4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Difya Ayu</cp:lastModifiedBy>
  <dcterms:created xsi:type="dcterms:W3CDTF">2015-06-05T18:17:20Z</dcterms:created>
  <dcterms:modified xsi:type="dcterms:W3CDTF">2026-10-04T19:17:20Z</dcterms:modified>
</cp:coreProperties>
</file>